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698ba9ea942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1596c6dba40d680ef804883eb23b8.psmdcp" Id="R5e99bb4a744d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calcChain.xml><?xml version="1.0" encoding="utf-8"?>
<x:calcChain xmlns:x="http://schemas.openxmlformats.org/spreadsheetml/2006/main">
  <x:c r="F10" i="2"/>
  <x:c r="H10" i="2"/>
  <x:c r="I10" i="2"/>
  <x:c r="J10" i="2"/>
  <x:c r="K10" i="2"/>
  <x:c r="L10" i="2"/>
  <x:c r="M10" i="2"/>
  <x:c r="N10" i="2"/>
  <x:c r="O10" i="2"/>
  <x:c r="P10" i="2"/>
  <x:c r="Q10" i="2"/>
  <x:c r="R10" i="2"/>
</x:calcChain>
</file>

<file path=xl/sharedStrings.xml><?xml version="1.0" encoding="utf-8"?>
<x:sst xmlns:x="http://schemas.openxmlformats.org/spreadsheetml/2006/main">
  <x:si>
    <x:t>Date</x:t>
  </x:si>
  <x:si>
    <x:t>Type</x:t>
  </x:si>
  <x:si>
    <x:t>Scheme</x:t>
  </x:si>
  <x:si>
    <x:t>BOID</x:t>
  </x:si>
  <x:si>
    <x:t>Name</x:t>
  </x:si>
  <x:si>
    <x:t>Units</x:t>
  </x:si>
  <x:si>
    <x:t>NAV</x:t>
  </x:si>
  <x:si>
    <x:t>Total With NAV</x:t>
  </x:si>
  <x:si>
    <x:t>DP Fee</x:t>
  </x:si>
  <x:si>
    <x:t>SEBON Fee</x:t>
  </x:si>
  <x:si>
    <x:t>Entry Load</x:t>
  </x:si>
  <x:si>
    <x:t>Exit Load</x:t>
  </x:si>
  <x:si>
    <x:t>CGT</x:t>
  </x:si>
  <x:si>
    <x:t>Total Amount</x:t>
  </x:si>
  <x:si>
    <x:t>Gain</x:t>
  </x:si>
  <x:si>
    <x:t>Remainder</x:t>
  </x:si>
  <x:si>
    <x:t>Bal. Remainder</x:t>
  </x:si>
  <x:si>
    <x:t>Total Paid Amount</x:t>
  </x:si>
  <x:si>
    <x:t>Is Transferred</x:t>
  </x:si>
  <x:si>
    <x:t>02-03-2026</x:t>
  </x:si>
  <x:si>
    <x:t>SIP Installment</x:t>
  </x:si>
  <x:si>
    <x:t>NI 31</x:t>
  </x:si>
  <x:si>
    <x:t>1301120001604585</x:t>
  </x:si>
  <x:si>
    <x:t>Amrit Kunwar</x:t>
  </x:si>
  <x:si>
    <x:t>No</x:t>
  </x:si>
  <x:si>
    <x:t>Fractional Allotment</x:t>
  </x:si>
  <x:si>
    <x:t>16-02-2026</x:t>
  </x:si>
  <x:si>
    <x:t>22-01-2026</x:t>
  </x:si>
  <x:si>
    <x:t>02-12-2025</x:t>
  </x:si>
  <x:si>
    <x:t>01-09-2025</x:t>
  </x:si>
  <x:si>
    <x:t>IPO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</x:si>
</x:sst>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"/>
  <x:sheetViews>
    <x:sheetView workbookViewId="0"/>
  </x:sheetViews>
  <x:sheetFormatPr defaultRowHeight="15"/>
  <x:cols>
    <x:col min="1" max="1" width="10.424911" style="0" customWidth="1"/>
    <x:col min="2" max="2" width="19.139196" style="0" customWidth="1"/>
    <x:col min="3" max="3" width="7.996339" style="0" customWidth="1"/>
    <x:col min="4" max="4" width="17.853482" style="0" customWidth="1"/>
    <x:col min="5" max="5" width="13.282054" style="0" customWidth="1"/>
    <x:col min="6" max="6" width="5.424911" style="0" customWidth="1"/>
    <x:col min="7" max="7" width="5.567768" style="0" customWidth="1"/>
    <x:col min="8" max="8" width="14.424911" style="0" customWidth="1"/>
    <x:col min="9" max="9" width="6.853482" style="0" customWidth="1"/>
    <x:col min="10" max="10" width="10.567768" style="0" customWidth="1"/>
    <x:col min="11" max="11" width="10.424911" style="0" customWidth="1"/>
    <x:col min="12" max="12" width="8.853482" style="0" customWidth="1"/>
    <x:col min="13" max="13" width="4.424911" style="0" customWidth="1"/>
    <x:col min="14" max="14" width="13.282054" style="0" customWidth="1"/>
    <x:col min="15" max="15" width="4.853482" style="0" customWidth="1"/>
    <x:col min="16" max="16" width="10.567768" style="0" customWidth="1"/>
    <x:col min="17" max="17" width="14.424911" style="0" customWidth="1"/>
    <x:col min="18" max="18" width="17.710625" style="0" customWidth="1"/>
    <x:col min="19" max="19" width="13.282054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>
        <x:v>145</x:v>
      </x:c>
      <x:c r="G2" s="0">
        <x:v>10.25</x:v>
      </x:c>
      <x:c r="H2" s="0">
        <x:v>1486.25</x:v>
      </x:c>
      <x:c r="I2" s="0">
        <x:v>5</x:v>
      </x:c>
      <x:c r="J2" s="0">
        <x:v>0</x:v>
      </x:c>
      <x:c r="K2" s="0">
        <x:v>0</x:v>
      </x:c>
      <x:c r="M2" s="0">
        <x:v>0</x:v>
      </x:c>
      <x:c r="N2" s="0">
        <x:v>1491.25</x:v>
      </x:c>
      <x:c r="O2" s="0">
        <x:v>0</x:v>
      </x:c>
      <x:c r="P2" s="0">
        <x:v>8.75</x:v>
      </x:c>
      <x:c r="Q2" s="0">
        <x:v>6.46</x:v>
      </x:c>
      <x:c r="R2" s="0">
        <x:v>1500</x:v>
      </x:c>
      <x:c r="S2" s="0" t="s">
        <x:v>24</x:v>
      </x:c>
    </x:row>
    <x:row r="3" spans="1:19">
      <x:c r="A3" s="0" t="s">
        <x:v>19</x:v>
      </x:c>
      <x:c r="B3" s="0" t="s">
        <x:v>25</x:v>
      </x:c>
      <x:c r="C3" s="0" t="s">
        <x:v>21</x:v>
      </x:c>
      <x:c r="D3" s="0" t="s">
        <x:v>22</x:v>
      </x:c>
      <x:c r="E3" s="0" t="s">
        <x:v>23</x:v>
      </x:c>
      <x:c r="F3" s="0">
        <x:v>1</x:v>
      </x:c>
      <x:c r="G3" s="0">
        <x:v>10.25</x:v>
      </x:c>
      <x:c r="H3" s="0">
        <x:v>10.25</x:v>
      </x:c>
      <x:c r="I3" s="0">
        <x:v>0</x:v>
      </x:c>
      <x:c r="J3" s="0">
        <x:v>0</x:v>
      </x:c>
      <x:c r="K3" s="0">
        <x:v>0</x:v>
      </x:c>
      <x:c r="M3" s="0">
        <x:v>0</x:v>
      </x:c>
      <x:c r="N3" s="0">
        <x:v>10.25</x:v>
      </x:c>
      <x:c r="O3" s="0">
        <x:v>0</x:v>
      </x:c>
      <x:c r="P3" s="0">
        <x:v>0</x:v>
      </x:c>
      <x:c r="Q3" s="0">
        <x:v>0</x:v>
      </x:c>
      <x:c r="R3" s="0">
        <x:v>10.25</x:v>
      </x:c>
      <x:c r="S3" s="0" t="s">
        <x:v>24</x:v>
      </x:c>
    </x:row>
    <x:row r="4" spans="1:19">
      <x:c r="A4" s="0" t="s">
        <x:v>26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146</x:v>
      </x:c>
      <x:c r="G4" s="0">
        <x:v>10.19</x:v>
      </x:c>
      <x:c r="H4" s="0">
        <x:v>1487.74</x:v>
      </x:c>
      <x:c r="I4" s="0">
        <x:v>5</x:v>
      </x:c>
      <x:c r="J4" s="0">
        <x:v>0</x:v>
      </x:c>
      <x:c r="K4" s="0">
        <x:v>0</x:v>
      </x:c>
      <x:c r="M4" s="0">
        <x:v>0</x:v>
      </x:c>
      <x:c r="N4" s="0">
        <x:v>1492.74</x:v>
      </x:c>
      <x:c r="O4" s="0">
        <x:v>0</x:v>
      </x:c>
      <x:c r="P4" s="0">
        <x:v>7.26</x:v>
      </x:c>
      <x:c r="Q4" s="0">
        <x:v>0</x:v>
      </x:c>
      <x:c r="R4" s="0">
        <x:v>1500</x:v>
      </x:c>
      <x:c r="S4" s="0" t="s">
        <x:v>24</x:v>
      </x:c>
    </x:row>
    <x:row r="5" spans="1:19">
      <x:c r="A5" s="0" t="s">
        <x:v>27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  <x:c r="F5" s="0">
        <x:v>144</x:v>
      </x:c>
      <x:c r="G5" s="0">
        <x:v>10.34</x:v>
      </x:c>
      <x:c r="H5" s="0">
        <x:v>1488.96</x:v>
      </x:c>
      <x:c r="I5" s="0">
        <x:v>5</x:v>
      </x:c>
      <x:c r="J5" s="0">
        <x:v>0</x:v>
      </x:c>
      <x:c r="K5" s="0">
        <x:v>0</x:v>
      </x:c>
      <x:c r="M5" s="0">
        <x:v>0</x:v>
      </x:c>
      <x:c r="N5" s="0">
        <x:v>1493.96</x:v>
      </x:c>
      <x:c r="O5" s="0">
        <x:v>0</x:v>
      </x:c>
      <x:c r="P5" s="0">
        <x:v>6.04</x:v>
      </x:c>
      <x:c r="Q5" s="0">
        <x:v>0</x:v>
      </x:c>
      <x:c r="R5" s="0">
        <x:v>1500</x:v>
      </x:c>
      <x:c r="S5" s="0" t="s">
        <x:v>24</x:v>
      </x:c>
    </x:row>
    <x:row r="6" spans="1:19">
      <x:c r="A6" s="0" t="s">
        <x:v>27</x:v>
      </x:c>
      <x:c r="B6" s="0" t="s">
        <x:v>25</x:v>
      </x:c>
      <x:c r="C6" s="0" t="s">
        <x:v>21</x:v>
      </x:c>
      <x:c r="D6" s="0" t="s">
        <x:v>22</x:v>
      </x:c>
      <x:c r="E6" s="0" t="s">
        <x:v>23</x:v>
      </x:c>
      <x:c r="F6" s="0">
        <x:v>1</x:v>
      </x:c>
      <x:c r="G6" s="0">
        <x:v>10.34</x:v>
      </x:c>
      <x:c r="H6" s="0">
        <x:v>10.34</x:v>
      </x:c>
      <x:c r="I6" s="0">
        <x:v>0</x:v>
      </x:c>
      <x:c r="J6" s="0">
        <x:v>0</x:v>
      </x:c>
      <x:c r="K6" s="0">
        <x:v>0</x:v>
      </x:c>
      <x:c r="M6" s="0">
        <x:v>0</x:v>
      </x:c>
      <x:c r="N6" s="0">
        <x:v>10.34</x:v>
      </x:c>
      <x:c r="O6" s="0">
        <x:v>0</x:v>
      </x:c>
      <x:c r="P6" s="0">
        <x:v>0</x:v>
      </x:c>
      <x:c r="Q6" s="0">
        <x:v>0</x:v>
      </x:c>
      <x:c r="R6" s="0">
        <x:v>10.34</x:v>
      </x:c>
      <x:c r="S6" s="0" t="s">
        <x:v>24</x:v>
      </x:c>
    </x:row>
    <x:row r="7" spans="1:19">
      <x:c r="A7" s="0" t="s">
        <x:v>28</x:v>
      </x:c>
      <x:c r="B7" s="0" t="s">
        <x:v>20</x:v>
      </x:c>
      <x:c r="C7" s="0" t="s">
        <x:v>21</x:v>
      </x:c>
      <x:c r="D7" s="0" t="s">
        <x:v>22</x:v>
      </x:c>
      <x:c r="E7" s="0" t="s">
        <x:v>23</x:v>
      </x:c>
      <x:c r="F7" s="0">
        <x:v>149</x:v>
      </x:c>
      <x:c r="G7" s="0">
        <x:v>10</x:v>
      </x:c>
      <x:c r="H7" s="0">
        <x:v>1490</x:v>
      </x:c>
      <x:c r="I7" s="0">
        <x:v>5</x:v>
      </x:c>
      <x:c r="J7" s="0">
        <x:v>0</x:v>
      </x:c>
      <x:c r="K7" s="0">
        <x:v>0</x:v>
      </x:c>
      <x:c r="M7" s="0">
        <x:v>0</x:v>
      </x:c>
      <x:c r="N7" s="0">
        <x:v>1495</x:v>
      </x:c>
      <x:c r="O7" s="0">
        <x:v>0</x:v>
      </x:c>
      <x:c r="P7" s="0">
        <x:v>5</x:v>
      </x:c>
      <x:c r="Q7" s="0">
        <x:v>0</x:v>
      </x:c>
      <x:c r="R7" s="0">
        <x:v>1500</x:v>
      </x:c>
      <x:c r="S7" s="0" t="s">
        <x:v>24</x:v>
      </x:c>
    </x:row>
    <x:row r="8" spans="1:19">
      <x:c r="A8" s="0" t="s">
        <x:v>29</x:v>
      </x:c>
      <x:c r="B8" s="0" t="s">
        <x:v>30</x:v>
      </x:c>
      <x:c r="C8" s="0" t="s">
        <x:v>21</x:v>
      </x:c>
      <x:c r="D8" s="0" t="s">
        <x:v>22</x:v>
      </x:c>
      <x:c r="E8" s="0" t="s">
        <x:v>23</x:v>
      </x:c>
      <x:c r="F8" s="0">
        <x:v>1740</x:v>
      </x:c>
      <x:c r="G8" s="0">
        <x:v>10</x:v>
      </x:c>
      <x:c r="H8" s="0">
        <x:v>17400</x:v>
      </x:c>
      <x:c r="I8" s="0">
        <x:v>0</x:v>
      </x:c>
      <x:c r="J8" s="0">
        <x:v>0</x:v>
      </x:c>
      <x:c r="K8" s="0">
        <x:v>0</x:v>
      </x:c>
      <x:c r="M8" s="0">
        <x:v>0</x:v>
      </x:c>
      <x:c r="N8" s="0">
        <x:v>17400</x:v>
      </x:c>
      <x:c r="O8" s="0">
        <x:v>0</x:v>
      </x:c>
      <x:c r="P8" s="0">
        <x:v>0</x:v>
      </x:c>
      <x:c r="Q8" s="0">
        <x:v>0</x:v>
      </x:c>
      <x:c r="R8" s="0">
        <x:v>17400</x:v>
      </x:c>
      <x:c r="S8" s="0" t="s">
        <x:v>24</x:v>
      </x:c>
    </x:row>
    <x:row r="10" spans="1:19">
      <x:c r="F10" s="1">
        <x:f>SUM(F2:F8)</x:f>
      </x:c>
      <x:c r="H10" s="1">
        <x:f>SUM(H2:H8)</x:f>
      </x:c>
      <x:c r="I10" s="1">
        <x:f>SUM(I2:I8)</x:f>
      </x:c>
      <x:c r="J10" s="1">
        <x:f>SUM(J2:J8)</x:f>
      </x:c>
      <x:c r="K10" s="1">
        <x:f>SUM(K2:K8)</x:f>
      </x:c>
      <x:c r="L10" s="1">
        <x:f>SUM(L2:L8)</x:f>
      </x:c>
      <x:c r="M10" s="1">
        <x:f>SUM(M2:M8)</x:f>
      </x:c>
      <x:c r="N10" s="1">
        <x:f>SUM(N2:N8)</x:f>
      </x:c>
      <x:c r="O10" s="1">
        <x:f>SUM(O2:O8)</x:f>
      </x:c>
      <x:c r="P10" s="1">
        <x:f>SUM(P2:P8)</x:f>
      </x:c>
      <x:c r="Q10" s="1">
        <x:f>SUM(Q2:Q8)</x:f>
      </x:c>
      <x:c r="R10" s="1">
        <x:f>SUM(R2:R8)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